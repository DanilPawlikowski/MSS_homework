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 l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<sst xmlns="http://schemas.openxmlformats.org/spreadsheetml/2006/main" count="12" uniqueCount="11">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</sst>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6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0.0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7968"/>
        <c:axId val="65078400"/>
      </c:scatterChart>
      <c:valAx>
        <c:axId val="103107968"/>
        <c:scaling>
          <c:orientation val="minMax"/>
          <c:max val="0.1"/>
          <c:min val="0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 b="1" i="1"/>
            </a:pPr>
            <a:endParaRPr lang="ru-RU"/>
          </a:p>
        </c:txPr>
        <c:crossAx val="65078400"/>
        <c:crosses val="autoZero"/>
        <c:crossBetween val="midCat"/>
      </c:valAx>
      <c:valAx>
        <c:axId val="65078400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1031079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352425</xdr:colOff>
      <xdr:row>18</xdr:row>
      <xdr:rowOff>85725</xdr:rowOff>
    </xdr:from>
    <xdr:to>
      <xdr:col>21</xdr:col>
      <xdr:colOff>104775</xdr:colOff>
      <xdr:row>41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381000</xdr:colOff>
      <xdr:row>18</xdr:row>
      <xdr:rowOff>180975</xdr:rowOff>
    </xdr:from>
    <xdr:ext cx="628649" cy="311496"/>
    <xdr:sp macro="" textlink="">
      <xdr:nvSpPr>
        <xdr:cNvPr id="3" name="TextBox 2"/>
        <xdr:cNvSpPr txBox="1"/>
      </xdr:nvSpPr>
      <xdr:spPr>
        <a:xfrm>
          <a:off x="6010275" y="3609975"/>
          <a:ext cx="628649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/>
            <a:t>T,</a:t>
          </a:r>
          <a:r>
            <a:rPr lang="en-US" sz="1400" b="1" baseline="0"/>
            <a:t> [C]</a:t>
          </a:r>
          <a:endParaRPr lang="ru-RU" sz="1400" b="1"/>
        </a:p>
      </xdr:txBody>
    </xdr:sp>
    <xdr:clientData/>
  </xdr:oneCellAnchor>
  <xdr:oneCellAnchor>
    <xdr:from>
      <xdr:col>19</xdr:col>
      <xdr:colOff>285750</xdr:colOff>
      <xdr:row>39</xdr:row>
      <xdr:rowOff>76200</xdr:rowOff>
    </xdr:from>
    <xdr:ext cx="628649" cy="311496"/>
    <xdr:sp macro="" textlink="">
      <xdr:nvSpPr>
        <xdr:cNvPr id="4" name="TextBox 3"/>
        <xdr:cNvSpPr txBox="1"/>
      </xdr:nvSpPr>
      <xdr:spPr>
        <a:xfrm>
          <a:off x="9858375" y="7505700"/>
          <a:ext cx="628649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/>
            <a:t>L,</a:t>
          </a:r>
          <a:r>
            <a:rPr lang="en-US" sz="1400" b="1" baseline="0"/>
            <a:t> [m]</a:t>
          </a:r>
          <a:endParaRPr lang="ru-RU" sz="1400" b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5"/>
  <sheetViews>
    <sheetView tabSelected="1" zoomScaleNormal="100" workbookViewId="0">
      <selection activeCell="G13" sqref="G13:AI13"/>
    </sheetView>
  </sheetViews>
  <sheetFormatPr defaultRowHeight="15" x14ac:dyDescent="0.25"/>
  <cols>
    <col min="3" max="3" width="9.5703125" bestFit="1" customWidth="1"/>
    <col min="6" max="6" width="6.5703125" bestFit="1" customWidth="1"/>
    <col min="7" max="7" width="12" bestFit="1" customWidth="1"/>
    <col min="8" max="36" width="6.5703125" bestFit="1" customWidth="1"/>
  </cols>
  <sheetData>
    <row r="3" spans="1:36" x14ac:dyDescent="0.25">
      <c r="B3" s="2" t="s">
        <v>0</v>
      </c>
      <c r="C3" s="4">
        <v>0.1</v>
      </c>
    </row>
    <row r="4" spans="1:36" x14ac:dyDescent="0.25">
      <c r="B4" s="2" t="s">
        <v>1</v>
      </c>
      <c r="C4" s="5">
        <f>C3/30</f>
        <v>3.3333333333333335E-3</v>
      </c>
    </row>
    <row r="5" spans="1:36" x14ac:dyDescent="0.25">
      <c r="B5" s="2" t="s">
        <v>2</v>
      </c>
      <c r="C5" s="5">
        <f>(C9*C8*C4^2)/(2*C10)</f>
        <v>0.4333333333333334</v>
      </c>
    </row>
    <row r="6" spans="1:36" x14ac:dyDescent="0.25">
      <c r="B6" s="2" t="s">
        <v>3</v>
      </c>
      <c r="C6" s="2">
        <v>60</v>
      </c>
      <c r="D6">
        <v>60.233333333333341</v>
      </c>
    </row>
    <row r="7" spans="1:36" x14ac:dyDescent="0.25">
      <c r="A7" s="6"/>
      <c r="B7" s="7"/>
      <c r="C7" s="7"/>
      <c r="D7" s="6"/>
    </row>
    <row r="8" spans="1:36" x14ac:dyDescent="0.25">
      <c r="B8" s="2" t="s">
        <v>4</v>
      </c>
      <c r="C8" s="2">
        <v>460</v>
      </c>
    </row>
    <row r="9" spans="1:36" x14ac:dyDescent="0.25">
      <c r="B9" s="2" t="s">
        <v>5</v>
      </c>
      <c r="C9" s="2">
        <v>7800</v>
      </c>
    </row>
    <row r="10" spans="1:36" x14ac:dyDescent="0.25">
      <c r="B10" s="2" t="s">
        <v>6</v>
      </c>
      <c r="C10" s="2">
        <v>46</v>
      </c>
    </row>
    <row r="11" spans="1:36" x14ac:dyDescent="0.25">
      <c r="A11" s="6"/>
      <c r="B11" s="7"/>
      <c r="C11" s="7"/>
      <c r="D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8">
        <v>280.34602914679897</v>
      </c>
      <c r="H13" s="8">
        <v>260.69205829359794</v>
      </c>
      <c r="I13" s="8">
        <v>241.69187227593491</v>
      </c>
      <c r="J13" s="8">
        <v>222.69168625827183</v>
      </c>
      <c r="K13" s="8">
        <v>204.95390631913148</v>
      </c>
      <c r="L13" s="8">
        <v>187.21612637999107</v>
      </c>
      <c r="M13" s="8">
        <v>171.26453784334268</v>
      </c>
      <c r="N13" s="8">
        <v>155.31294930669429</v>
      </c>
      <c r="O13" s="8">
        <v>141.55671337374599</v>
      </c>
      <c r="P13" s="8">
        <v>127.80047744079765</v>
      </c>
      <c r="Q13" s="8">
        <v>116.51671674932982</v>
      </c>
      <c r="R13" s="8">
        <v>105.23295605786197</v>
      </c>
      <c r="S13" s="8">
        <v>96.561989352755049</v>
      </c>
      <c r="T13" s="8">
        <v>87.891022647648128</v>
      </c>
      <c r="U13" s="8">
        <v>81.842538774051832</v>
      </c>
      <c r="V13" s="8">
        <v>75.794054900455549</v>
      </c>
      <c r="W13" s="8">
        <v>72.261187114604226</v>
      </c>
      <c r="X13" s="8">
        <v>68.728319328752917</v>
      </c>
      <c r="Y13" s="8">
        <v>67.506108522455037</v>
      </c>
      <c r="Z13" s="8">
        <v>66.283897716157142</v>
      </c>
      <c r="AA13" s="8">
        <v>67.088962026000345</v>
      </c>
      <c r="AB13" s="8">
        <v>67.894026335843549</v>
      </c>
      <c r="AC13" s="8">
        <v>70.383127200086093</v>
      </c>
      <c r="AD13" s="8">
        <v>72.872228064328638</v>
      </c>
      <c r="AE13" s="8">
        <v>76.658491877071754</v>
      </c>
      <c r="AF13" s="8">
        <v>80.444755689814855</v>
      </c>
      <c r="AG13" s="8">
        <v>85.111263870845988</v>
      </c>
      <c r="AH13" s="8">
        <v>89.777772051877108</v>
      </c>
      <c r="AI13" s="8">
        <v>94.888886025938547</v>
      </c>
      <c r="AJ13" s="1">
        <f>C13</f>
        <v>100</v>
      </c>
    </row>
    <row r="15" spans="1:36" x14ac:dyDescent="0.25">
      <c r="E15" t="s">
        <v>10</v>
      </c>
      <c r="G15" s="1">
        <f>G13+(($C$10*$C$5)/($C$9*$C$8))*((H13-2*G13+F13)/($C$4^2))</f>
        <v>280.34602914679897</v>
      </c>
      <c r="H15" s="1">
        <f t="shared" ref="H15:AI15" si="1">H13+(($C$10*$C$5)/($C$9*$C$8))*((I13-2*H13+G13)/($C$4^2))</f>
        <v>261.01895071136693</v>
      </c>
      <c r="I15" s="1">
        <f t="shared" si="1"/>
        <v>241.69187227593488</v>
      </c>
      <c r="J15" s="1">
        <f t="shared" si="1"/>
        <v>223.32288929753321</v>
      </c>
      <c r="K15" s="1">
        <f t="shared" si="1"/>
        <v>204.95390631913145</v>
      </c>
      <c r="L15" s="1">
        <f t="shared" si="1"/>
        <v>188.10922208123708</v>
      </c>
      <c r="M15" s="1">
        <f t="shared" si="1"/>
        <v>171.26453784334268</v>
      </c>
      <c r="N15" s="1">
        <f t="shared" si="1"/>
        <v>156.41062560854434</v>
      </c>
      <c r="O15" s="1">
        <f t="shared" si="1"/>
        <v>141.55671337374596</v>
      </c>
      <c r="P15" s="1">
        <f t="shared" si="1"/>
        <v>129.0367150615379</v>
      </c>
      <c r="Q15" s="1">
        <f t="shared" si="1"/>
        <v>116.51671674932982</v>
      </c>
      <c r="R15" s="1">
        <f t="shared" si="1"/>
        <v>106.53935305104244</v>
      </c>
      <c r="S15" s="1">
        <f t="shared" si="1"/>
        <v>96.561989352755049</v>
      </c>
      <c r="T15" s="1">
        <f t="shared" si="1"/>
        <v>89.202264063403447</v>
      </c>
      <c r="U15" s="1">
        <f t="shared" si="1"/>
        <v>81.842538774051832</v>
      </c>
      <c r="V15" s="1">
        <f t="shared" si="1"/>
        <v>77.051862944328036</v>
      </c>
      <c r="W15" s="1">
        <f t="shared" si="1"/>
        <v>72.26118711460424</v>
      </c>
      <c r="X15" s="1">
        <f t="shared" si="1"/>
        <v>69.883647818529624</v>
      </c>
      <c r="Y15" s="1">
        <f t="shared" si="1"/>
        <v>67.506108522455037</v>
      </c>
      <c r="Z15" s="1">
        <f t="shared" si="1"/>
        <v>67.297535274227698</v>
      </c>
      <c r="AA15" s="1">
        <f t="shared" si="1"/>
        <v>67.088962026000345</v>
      </c>
      <c r="AB15" s="1">
        <f t="shared" si="1"/>
        <v>68.736044613043219</v>
      </c>
      <c r="AC15" s="1">
        <f t="shared" si="1"/>
        <v>70.383127200086093</v>
      </c>
      <c r="AD15" s="1">
        <f t="shared" si="1"/>
        <v>73.520809538578931</v>
      </c>
      <c r="AE15" s="1">
        <f t="shared" si="1"/>
        <v>76.658491877071754</v>
      </c>
      <c r="AF15" s="1">
        <f t="shared" si="1"/>
        <v>80.884877873958871</v>
      </c>
      <c r="AG15" s="1">
        <f t="shared" si="1"/>
        <v>85.111263870845988</v>
      </c>
      <c r="AH15" s="1">
        <f t="shared" si="1"/>
        <v>90.000074948392268</v>
      </c>
      <c r="AI15" s="1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theme="8"/>
        <color rgb="FFFFEB84"/>
        <color rgb="FFC0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2021-10-03T13:01:31Z</dcterms:modified>
</cp:coreProperties>
</file>